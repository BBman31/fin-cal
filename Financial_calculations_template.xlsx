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ixed" sheetId="2" r:id="rId6"/>
    <sheet state="visible" name="Flexible Budget" sheetId="3" r:id="rId7"/>
    <sheet state="visible" name="OpenClose" sheetId="4" r:id="rId8"/>
    <sheet state="visible" name="Spending log" sheetId="5" r:id="rId9"/>
    <sheet state="visible" name="Mapping tables" sheetId="6" r:id="rId10"/>
  </sheets>
  <definedNames>
    <definedName hidden="1" localSheetId="4" name="_xlnm._FilterDatabase">'Spending log'!$A$1:$E$219</definedName>
  </definedNames>
  <calcPr/>
</workbook>
</file>

<file path=xl/sharedStrings.xml><?xml version="1.0" encoding="utf-8"?>
<sst xmlns="http://schemas.openxmlformats.org/spreadsheetml/2006/main" count="126" uniqueCount="78">
  <si>
    <t>Net Monthly Income:</t>
  </si>
  <si>
    <t>Budget split</t>
  </si>
  <si>
    <t>Weight (%)</t>
  </si>
  <si>
    <t>amount</t>
  </si>
  <si>
    <t>Fixed (rent, bills, food):</t>
  </si>
  <si>
    <t>Future (investing, saving)</t>
  </si>
  <si>
    <t>Flexible (lifestyle)</t>
  </si>
  <si>
    <t>Budget:</t>
  </si>
  <si>
    <t>Category</t>
  </si>
  <si>
    <t>Monthly Cost (DKK)</t>
  </si>
  <si>
    <t>Comment</t>
  </si>
  <si>
    <t>Rent</t>
  </si>
  <si>
    <t>Flat rent price</t>
  </si>
  <si>
    <t>Utilities</t>
  </si>
  <si>
    <t>I do not know right now (lets say it will be 1000)</t>
  </si>
  <si>
    <t>Internet</t>
  </si>
  <si>
    <t>free (company)</t>
  </si>
  <si>
    <t>Phone</t>
  </si>
  <si>
    <t>deducted from my salary</t>
  </si>
  <si>
    <t>Insurance</t>
  </si>
  <si>
    <t>Tryg</t>
  </si>
  <si>
    <t>Transport</t>
  </si>
  <si>
    <t>I'm walking, I have ad-hoc transports</t>
  </si>
  <si>
    <t>Subscriptions</t>
  </si>
  <si>
    <t>Usually takes it from my OTP and Revolut</t>
  </si>
  <si>
    <t>Gym</t>
  </si>
  <si>
    <t>deducted from salary</t>
  </si>
  <si>
    <t>Total</t>
  </si>
  <si>
    <t>Budget (DKK)</t>
  </si>
  <si>
    <t>Clothing</t>
  </si>
  <si>
    <t>Remaining</t>
  </si>
  <si>
    <t>Self-development</t>
  </si>
  <si>
    <t>Social / Experiences</t>
  </si>
  <si>
    <t>Misc</t>
  </si>
  <si>
    <t>Date</t>
  </si>
  <si>
    <t>Open</t>
  </si>
  <si>
    <t>Close</t>
  </si>
  <si>
    <t>Budget Bucket</t>
  </si>
  <si>
    <t>Item</t>
  </si>
  <si>
    <t>Mapping table  for Buckets</t>
  </si>
  <si>
    <t>Amount</t>
  </si>
  <si>
    <t>Mappign table for Categories</t>
  </si>
  <si>
    <t>Bucket</t>
  </si>
  <si>
    <t>Food</t>
  </si>
  <si>
    <t>Fixed</t>
  </si>
  <si>
    <t>Red Barnet</t>
  </si>
  <si>
    <t>Charity</t>
  </si>
  <si>
    <t>Flat rent</t>
  </si>
  <si>
    <t>ABC Lavpris</t>
  </si>
  <si>
    <t>Clothes</t>
  </si>
  <si>
    <t>Flexible</t>
  </si>
  <si>
    <t>LEGO store</t>
  </si>
  <si>
    <t>LEGO</t>
  </si>
  <si>
    <t>Netto Billund</t>
  </si>
  <si>
    <t>Other</t>
  </si>
  <si>
    <t>ABC</t>
  </si>
  <si>
    <t>Travel</t>
  </si>
  <si>
    <t>Netto</t>
  </si>
  <si>
    <t>Free Time</t>
  </si>
  <si>
    <t>Super</t>
  </si>
  <si>
    <t>Home</t>
  </si>
  <si>
    <t>Super Brugsen</t>
  </si>
  <si>
    <t>Perfume</t>
  </si>
  <si>
    <t>Investment</t>
  </si>
  <si>
    <t>Future</t>
  </si>
  <si>
    <t>DSB</t>
  </si>
  <si>
    <t>Fotex Vejle</t>
  </si>
  <si>
    <t>Revolut</t>
  </si>
  <si>
    <t>Health</t>
  </si>
  <si>
    <t>Compass Group</t>
  </si>
  <si>
    <t>BioTechUSA</t>
  </si>
  <si>
    <t>Notino</t>
  </si>
  <si>
    <t xml:space="preserve">LEGO Store BLL </t>
  </si>
  <si>
    <t>Lidl</t>
  </si>
  <si>
    <t>Nordnet</t>
  </si>
  <si>
    <t>Jysk</t>
  </si>
  <si>
    <t>Boozt</t>
  </si>
  <si>
    <t>Matas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</si>
</sst>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"/>
  </numFmts>
  <fonts count="6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2" numFmtId="3" xfId="0" applyAlignment="1" applyFont="1" applyNumberFormat="1">
      <alignment horizontal="right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</row>
    <row r="4">
      <c r="A4" s="1" t="s">
        <v>1</v>
      </c>
      <c r="B4" s="1" t="s">
        <v>2</v>
      </c>
      <c r="C4" s="1" t="s">
        <v>3</v>
      </c>
    </row>
    <row r="5">
      <c r="A5" s="2" t="s">
        <v>4</v>
      </c>
      <c r="B5" s="2">
        <v>55.0</v>
      </c>
      <c r="C5" s="3">
        <f>B1*B5/100</f>
        <v>0</v>
      </c>
    </row>
    <row r="6">
      <c r="A6" s="2" t="s">
        <v>5</v>
      </c>
      <c r="B6" s="2">
        <v>20.0</v>
      </c>
      <c r="C6" s="3">
        <f>B1*B6/100</f>
        <v>0</v>
      </c>
    </row>
    <row r="7">
      <c r="A7" s="2" t="s">
        <v>6</v>
      </c>
      <c r="B7" s="2">
        <v>25.0</v>
      </c>
      <c r="C7" s="3">
        <f>B1*B7/100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6.63"/>
    <col customWidth="1" min="3" max="3" width="35.88"/>
  </cols>
  <sheetData>
    <row r="1">
      <c r="A1" s="1" t="s">
        <v>7</v>
      </c>
      <c r="B1" s="4">
        <f> Overview!C5</f>
        <v>0</v>
      </c>
    </row>
    <row r="3">
      <c r="A3" s="1" t="s">
        <v>8</v>
      </c>
      <c r="B3" s="1" t="s">
        <v>9</v>
      </c>
      <c r="C3" s="1" t="s">
        <v>10</v>
      </c>
    </row>
    <row r="4">
      <c r="A4" s="2" t="s">
        <v>11</v>
      </c>
      <c r="B4" s="2">
        <v>0.0</v>
      </c>
      <c r="C4" s="2" t="s">
        <v>12</v>
      </c>
    </row>
    <row r="5">
      <c r="A5" s="2" t="s">
        <v>13</v>
      </c>
      <c r="B5" s="2">
        <v>0.0</v>
      </c>
      <c r="C5" s="2" t="s">
        <v>14</v>
      </c>
    </row>
    <row r="6">
      <c r="A6" s="2" t="s">
        <v>15</v>
      </c>
      <c r="B6" s="2">
        <v>0.0</v>
      </c>
      <c r="C6" s="2" t="s">
        <v>16</v>
      </c>
    </row>
    <row r="7">
      <c r="A7" s="2" t="s">
        <v>17</v>
      </c>
      <c r="B7" s="2">
        <v>0.0</v>
      </c>
      <c r="C7" s="2" t="s">
        <v>18</v>
      </c>
    </row>
    <row r="8">
      <c r="A8" s="2" t="s">
        <v>19</v>
      </c>
      <c r="B8" s="2">
        <v>0.0</v>
      </c>
      <c r="C8" s="2" t="s">
        <v>20</v>
      </c>
    </row>
    <row r="9">
      <c r="A9" s="2" t="s">
        <v>21</v>
      </c>
      <c r="B9" s="2">
        <v>0.0</v>
      </c>
      <c r="C9" s="2" t="s">
        <v>22</v>
      </c>
    </row>
    <row r="10">
      <c r="A10" s="2" t="s">
        <v>23</v>
      </c>
      <c r="B10" s="2">
        <v>0.0</v>
      </c>
      <c r="C10" s="2" t="s">
        <v>24</v>
      </c>
    </row>
    <row r="11">
      <c r="A11" s="2" t="s">
        <v>25</v>
      </c>
      <c r="B11" s="2">
        <v>0.0</v>
      </c>
      <c r="C11" s="2" t="s">
        <v>26</v>
      </c>
    </row>
    <row r="13">
      <c r="A13" s="5" t="s">
        <v>27</v>
      </c>
      <c r="B13" s="3">
        <f>SUM(B4:B11)</f>
        <v>0</v>
      </c>
    </row>
    <row r="14">
      <c r="A14" s="5" t="s">
        <v>30</v>
      </c>
      <c r="B14" s="3">
        <f>B1-B13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7</v>
      </c>
      <c r="B1" s="4">
        <f> Overview!C7</f>
        <v>0</v>
      </c>
      <c r="C1" s="4"/>
      <c r="D1" s="4"/>
    </row>
    <row r="2">
      <c r="D2" s="4"/>
    </row>
    <row r="3">
      <c r="D3" s="4"/>
    </row>
    <row r="4">
      <c r="A4" s="1" t="s">
        <v>8</v>
      </c>
      <c r="B4" s="1" t="s">
        <v>2</v>
      </c>
      <c r="C4" s="1" t="s">
        <v>28</v>
      </c>
      <c r="D4" s="4"/>
    </row>
    <row r="5">
      <c r="A5" s="6" t="s">
        <v>29</v>
      </c>
      <c r="B5" s="6">
        <v>30.0</v>
      </c>
      <c r="C5" s="4">
        <f> B1 * B5 / 100</f>
        <v>0</v>
      </c>
      <c r="D5" s="4"/>
    </row>
    <row r="6">
      <c r="A6" s="6" t="s">
        <v>31</v>
      </c>
      <c r="B6" s="6">
        <v>25.0</v>
      </c>
      <c r="C6" s="4">
        <f> B1 * B6 / 100</f>
        <v>0</v>
      </c>
      <c r="D6" s="4"/>
    </row>
    <row r="7">
      <c r="A7" s="6" t="s">
        <v>32</v>
      </c>
      <c r="B7" s="6">
        <v>25.0</v>
      </c>
      <c r="C7" s="4">
        <f> B1 * B7 / 100</f>
        <v>0</v>
      </c>
      <c r="D7" s="4"/>
    </row>
    <row r="8">
      <c r="A8" s="6" t="s">
        <v>33</v>
      </c>
      <c r="B8" s="6">
        <v>20.0</v>
      </c>
      <c r="C8" s="4">
        <f> B1 * B8 / 100</f>
        <v>0</v>
      </c>
      <c r="D8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customWidth="1" min="5" max="5" width="21.25"/>
    <col customWidth="1" min="6" max="6" width="17.13"/>
    <col customWidth="1" min="7" max="7" width="18.25"/>
    <col customWidth="1" min="9" max="9" width="14.63"/>
    <col customWidth="1" min="10" max="10" width="14.5"/>
  </cols>
  <sheetData>
    <row r="2">
      <c r="A2" s="1" t="s">
        <v>34</v>
      </c>
      <c r="B2" s="1" t="s">
        <v>35</v>
      </c>
      <c r="C2" s="1" t="s">
        <v>36</v>
      </c>
      <c r="D2" s="1" t="s">
        <v>30</v>
      </c>
    </row>
    <row r="3">
      <c r="A3" s="7">
        <v>45839.0</v>
      </c>
    </row>
    <row r="4">
      <c r="A4" s="7">
        <v>45870.0</v>
      </c>
    </row>
    <row r="5">
      <c r="A5" s="7">
        <v>45901.0</v>
      </c>
    </row>
    <row r="6">
      <c r="A6" s="7">
        <v>45931.0</v>
      </c>
    </row>
    <row r="7">
      <c r="A7" s="7">
        <v>45962.0</v>
      </c>
    </row>
    <row r="8">
      <c r="A8" s="7">
        <v>45992.0</v>
      </c>
    </row>
    <row r="9">
      <c r="A9" s="7">
        <v>46023.0</v>
      </c>
    </row>
    <row r="10">
      <c r="A10" s="7">
        <v>46054.0</v>
      </c>
    </row>
    <row r="11">
      <c r="A11" s="7">
        <v>46082.0</v>
      </c>
      <c r="D11" s="8"/>
    </row>
    <row r="12">
      <c r="A12" s="7">
        <v>46113.0</v>
      </c>
    </row>
    <row r="13">
      <c r="A13" s="7">
        <v>46143.0</v>
      </c>
    </row>
    <row r="14">
      <c r="A14" s="7">
        <v>46174.0</v>
      </c>
    </row>
    <row r="15">
      <c r="A15" s="7">
        <v>46204.0</v>
      </c>
    </row>
    <row r="16">
      <c r="A16" s="7">
        <v>46235.0</v>
      </c>
    </row>
    <row r="17">
      <c r="A17" s="7">
        <v>46266.0</v>
      </c>
    </row>
    <row r="18">
      <c r="A18" s="7">
        <v>46296.0</v>
      </c>
    </row>
    <row r="19">
      <c r="A19" s="7">
        <v>46327.0</v>
      </c>
    </row>
    <row r="20">
      <c r="A20" s="7">
        <v>46357.0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3" width="16.25"/>
    <col customWidth="1" min="4" max="4" width="27.0"/>
    <col customWidth="1" min="6" max="6" width="21.0"/>
    <col customWidth="1" min="7" max="7" width="23.38"/>
  </cols>
  <sheetData>
    <row r="1">
      <c r="A1" s="1" t="s">
        <v>34</v>
      </c>
      <c r="B1" s="1" t="s">
        <v>37</v>
      </c>
      <c r="C1" s="1" t="s">
        <v>8</v>
      </c>
      <c r="D1" s="1" t="s">
        <v>38</v>
      </c>
      <c r="E1" s="1" t="s">
        <v>40</v>
      </c>
    </row>
    <row r="2">
      <c r="A2" s="7"/>
    </row>
    <row r="3">
      <c r="A3" s="7"/>
    </row>
    <row r="4">
      <c r="A4" s="7"/>
    </row>
    <row r="5">
      <c r="A5" s="7"/>
      <c r="E5" s="9"/>
    </row>
    <row r="6">
      <c r="A6" s="7"/>
      <c r="E6" s="9"/>
    </row>
    <row r="7">
      <c r="A7" s="7"/>
      <c r="E7" s="9"/>
    </row>
    <row r="8">
      <c r="A8" s="7"/>
      <c r="E8" s="9"/>
    </row>
    <row r="9">
      <c r="A9" s="7"/>
      <c r="E9" s="9"/>
    </row>
    <row r="10">
      <c r="A10" s="7"/>
      <c r="E10" s="9"/>
    </row>
    <row r="11">
      <c r="A11" s="7"/>
      <c r="E11" s="9"/>
    </row>
    <row r="12">
      <c r="A12" s="7"/>
      <c r="E12" s="11"/>
    </row>
    <row r="13">
      <c r="A13" s="7"/>
      <c r="E13" s="9"/>
    </row>
    <row r="14">
      <c r="A14" s="7"/>
      <c r="E14" s="9"/>
    </row>
    <row r="15">
      <c r="A15" s="7"/>
      <c r="E15" s="9"/>
    </row>
    <row r="16">
      <c r="A16" s="7"/>
      <c r="E16" s="9"/>
    </row>
    <row r="17">
      <c r="A17" s="7"/>
      <c r="E17" s="9"/>
    </row>
    <row r="18">
      <c r="A18" s="7"/>
      <c r="E18" s="9"/>
    </row>
    <row r="19">
      <c r="A19" s="7"/>
      <c r="E19" s="9"/>
    </row>
    <row r="20">
      <c r="A20" s="7"/>
      <c r="E20" s="9"/>
    </row>
    <row r="21">
      <c r="A21" s="7"/>
      <c r="E21" s="9"/>
    </row>
    <row r="22">
      <c r="A22" s="7"/>
      <c r="E22" s="9"/>
    </row>
    <row r="23">
      <c r="A23" s="7"/>
      <c r="E23" s="9"/>
    </row>
    <row r="24">
      <c r="A24" s="7"/>
      <c r="E24" s="9"/>
    </row>
    <row r="25">
      <c r="A25" s="7"/>
      <c r="E25" s="9"/>
    </row>
    <row r="26">
      <c r="A26" s="7"/>
      <c r="E26" s="9"/>
    </row>
    <row r="27">
      <c r="A27" s="7"/>
      <c r="E27" s="9"/>
    </row>
    <row r="28">
      <c r="A28" s="7"/>
      <c r="E28" s="9"/>
    </row>
    <row r="29">
      <c r="A29" s="7"/>
      <c r="E29" s="9"/>
    </row>
    <row r="30">
      <c r="A30" s="7"/>
      <c r="E30" s="9"/>
    </row>
    <row r="31">
      <c r="A31" s="7"/>
      <c r="E31" s="9"/>
    </row>
    <row r="32">
      <c r="A32" s="7"/>
      <c r="E32" s="9"/>
    </row>
    <row r="33">
      <c r="A33" s="7"/>
      <c r="E33" s="9"/>
    </row>
    <row r="34">
      <c r="A34" s="7"/>
      <c r="E34" s="9"/>
    </row>
    <row r="35">
      <c r="A35" s="7"/>
    </row>
    <row r="36">
      <c r="A36" s="12"/>
      <c r="B36" s="13"/>
      <c r="C36" s="13"/>
      <c r="D36" s="14"/>
      <c r="E36" s="14"/>
    </row>
    <row r="37">
      <c r="A37" s="7"/>
      <c r="F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12"/>
      <c r="B80" s="13"/>
      <c r="C80" s="14"/>
      <c r="D80" s="14"/>
      <c r="E80" s="14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  <c r="E97" s="15"/>
    </row>
    <row r="98">
      <c r="A98" s="7"/>
      <c r="E98" s="15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12"/>
      <c r="B115" s="13"/>
      <c r="C115" s="13"/>
      <c r="D115" s="14"/>
      <c r="E115" s="14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12"/>
      <c r="B165" s="13"/>
      <c r="C165" s="13"/>
      <c r="D165" s="14"/>
      <c r="E165" s="14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16"/>
      <c r="B185" s="17"/>
      <c r="C185" s="17"/>
      <c r="D185" s="17"/>
    </row>
    <row r="186">
      <c r="A186" s="16"/>
      <c r="B186" s="17"/>
      <c r="C186" s="17"/>
      <c r="D186" s="17"/>
    </row>
    <row r="187">
      <c r="A187" s="16"/>
      <c r="B187" s="17"/>
      <c r="C187" s="17"/>
      <c r="D187" s="17"/>
    </row>
    <row r="188">
      <c r="A188" s="12"/>
      <c r="B188" s="13"/>
      <c r="C188" s="13"/>
      <c r="D188" s="14"/>
      <c r="E188" s="14"/>
    </row>
    <row r="189">
      <c r="A189" s="18"/>
    </row>
    <row r="190">
      <c r="A190" s="18"/>
    </row>
    <row r="191">
      <c r="A191" s="18"/>
      <c r="B191" s="17"/>
      <c r="C191" s="17"/>
      <c r="D191" s="19"/>
    </row>
    <row r="192">
      <c r="A192" s="18"/>
      <c r="B192" s="17"/>
      <c r="C192" s="17"/>
      <c r="D192" s="17"/>
      <c r="E192" s="15"/>
    </row>
    <row r="193">
      <c r="A193" s="18"/>
      <c r="B193" s="17"/>
      <c r="C193" s="17"/>
      <c r="D193" s="19"/>
    </row>
    <row r="194">
      <c r="A194" s="18"/>
      <c r="B194" s="17"/>
      <c r="C194" s="17"/>
    </row>
    <row r="195">
      <c r="A195" s="18"/>
      <c r="B195" s="17"/>
      <c r="C195" s="17"/>
      <c r="D195" s="17"/>
    </row>
    <row r="196">
      <c r="A196" s="18"/>
      <c r="B196" s="17"/>
      <c r="C196" s="17"/>
      <c r="D196" s="19"/>
    </row>
    <row r="197">
      <c r="A197" s="18"/>
    </row>
    <row r="198">
      <c r="A198" s="18"/>
      <c r="B198" s="17"/>
      <c r="C198" s="17"/>
      <c r="D198" s="19"/>
    </row>
    <row r="199">
      <c r="A199" s="18"/>
      <c r="B199" s="17"/>
    </row>
    <row r="200">
      <c r="A200" s="18"/>
    </row>
    <row r="201">
      <c r="A201" s="18"/>
      <c r="B201" s="17"/>
      <c r="C201" s="17"/>
      <c r="D201" s="17"/>
    </row>
    <row r="202">
      <c r="A202" s="18"/>
      <c r="B202" s="17"/>
      <c r="C202" s="17"/>
      <c r="D202" s="17"/>
    </row>
    <row r="203">
      <c r="A203" s="18"/>
      <c r="B203" s="17"/>
      <c r="C203" s="17"/>
      <c r="D203" s="19"/>
    </row>
    <row r="204">
      <c r="A204" s="18"/>
      <c r="B204" s="17"/>
      <c r="C204" s="17"/>
      <c r="D204" s="17"/>
    </row>
    <row r="205">
      <c r="A205" s="18"/>
      <c r="B205" s="17"/>
      <c r="C205" s="17"/>
      <c r="D205" s="17"/>
    </row>
    <row r="206">
      <c r="A206" s="18"/>
      <c r="B206" s="17"/>
      <c r="C206" s="17"/>
      <c r="D206" s="19"/>
    </row>
    <row r="207">
      <c r="A207" s="18"/>
      <c r="B207" s="17"/>
      <c r="C207" s="19"/>
      <c r="D207" s="19"/>
    </row>
    <row r="208">
      <c r="A208" s="18"/>
    </row>
    <row r="209">
      <c r="A209" s="18"/>
    </row>
    <row r="210">
      <c r="A210" s="18"/>
    </row>
    <row r="211">
      <c r="A211" s="18"/>
      <c r="B211" s="17"/>
      <c r="C211" s="17"/>
      <c r="D211" s="17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  <c r="B218" s="17"/>
      <c r="C218" s="17"/>
      <c r="D218" s="19"/>
    </row>
    <row r="219">
      <c r="A219" s="18"/>
    </row>
  </sheetData>
  <autoFilter ref="$A$1:$E$21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5" max="5" width="22.38"/>
    <col customWidth="1" min="6" max="6" width="14.0"/>
  </cols>
  <sheetData>
    <row r="1">
      <c r="A1" s="2" t="s">
        <v>39</v>
      </c>
      <c r="E1" s="2" t="s">
        <v>41</v>
      </c>
    </row>
    <row r="2">
      <c r="B2" s="10" t="s">
        <v>8</v>
      </c>
      <c r="C2" s="10" t="s">
        <v>42</v>
      </c>
      <c r="F2" s="10" t="s">
        <v>38</v>
      </c>
      <c r="G2" s="10" t="s">
        <v>8</v>
      </c>
    </row>
    <row r="3">
      <c r="B3" s="2" t="s">
        <v>43</v>
      </c>
      <c r="C3" s="2" t="s">
        <v>44</v>
      </c>
      <c r="F3" s="2" t="s">
        <v>45</v>
      </c>
      <c r="G3" s="2" t="s">
        <v>46</v>
      </c>
    </row>
    <row r="4">
      <c r="B4" s="2" t="s">
        <v>47</v>
      </c>
      <c r="C4" s="2" t="s">
        <v>44</v>
      </c>
      <c r="F4" s="2" t="s">
        <v>48</v>
      </c>
      <c r="G4" s="2" t="s">
        <v>43</v>
      </c>
    </row>
    <row r="5">
      <c r="B5" s="2" t="s">
        <v>49</v>
      </c>
      <c r="C5" s="2" t="s">
        <v>50</v>
      </c>
      <c r="F5" s="2" t="s">
        <v>51</v>
      </c>
      <c r="G5" s="2" t="s">
        <v>52</v>
      </c>
    </row>
    <row r="6">
      <c r="B6" s="2" t="s">
        <v>46</v>
      </c>
      <c r="C6" s="2" t="s">
        <v>44</v>
      </c>
      <c r="F6" s="2" t="s">
        <v>53</v>
      </c>
      <c r="G6" s="2" t="s">
        <v>43</v>
      </c>
    </row>
    <row r="7">
      <c r="B7" s="2" t="s">
        <v>52</v>
      </c>
      <c r="C7" s="2" t="s">
        <v>50</v>
      </c>
      <c r="F7" s="2" t="s">
        <v>52</v>
      </c>
      <c r="G7" s="2" t="s">
        <v>52</v>
      </c>
    </row>
    <row r="8">
      <c r="B8" s="2" t="s">
        <v>54</v>
      </c>
      <c r="C8" s="2" t="s">
        <v>50</v>
      </c>
      <c r="F8" s="2" t="s">
        <v>55</v>
      </c>
      <c r="G8" s="2" t="s">
        <v>43</v>
      </c>
    </row>
    <row r="9">
      <c r="B9" s="2" t="s">
        <v>56</v>
      </c>
      <c r="C9" s="2" t="s">
        <v>50</v>
      </c>
      <c r="F9" s="2" t="s">
        <v>57</v>
      </c>
      <c r="G9" s="2" t="s">
        <v>43</v>
      </c>
    </row>
    <row r="10">
      <c r="B10" s="2" t="s">
        <v>58</v>
      </c>
      <c r="C10" s="2" t="s">
        <v>50</v>
      </c>
      <c r="F10" s="2" t="s">
        <v>59</v>
      </c>
      <c r="G10" s="2" t="s">
        <v>43</v>
      </c>
    </row>
    <row r="11">
      <c r="B11" s="2" t="s">
        <v>60</v>
      </c>
      <c r="C11" s="2" t="s">
        <v>50</v>
      </c>
      <c r="F11" s="2" t="s">
        <v>61</v>
      </c>
      <c r="G11" s="2" t="s">
        <v>43</v>
      </c>
    </row>
    <row r="12">
      <c r="B12" s="2" t="s">
        <v>62</v>
      </c>
      <c r="C12" s="2" t="s">
        <v>50</v>
      </c>
      <c r="F12" s="2" t="s">
        <v>12</v>
      </c>
      <c r="G12" s="2" t="s">
        <v>47</v>
      </c>
    </row>
    <row r="13">
      <c r="B13" s="2" t="s">
        <v>63</v>
      </c>
      <c r="C13" s="2" t="s">
        <v>64</v>
      </c>
      <c r="F13" s="2" t="s">
        <v>65</v>
      </c>
      <c r="G13" s="2" t="s">
        <v>56</v>
      </c>
    </row>
    <row r="14">
      <c r="B14" s="2" t="s">
        <v>60</v>
      </c>
      <c r="C14" s="2" t="s">
        <v>50</v>
      </c>
      <c r="F14" s="2" t="s">
        <v>66</v>
      </c>
      <c r="G14" s="2" t="s">
        <v>43</v>
      </c>
    </row>
    <row r="15">
      <c r="B15" s="2" t="s">
        <v>19</v>
      </c>
      <c r="C15" s="2" t="s">
        <v>44</v>
      </c>
      <c r="F15" s="2" t="s">
        <v>67</v>
      </c>
      <c r="G15" s="2" t="s">
        <v>60</v>
      </c>
    </row>
    <row r="16">
      <c r="B16" s="2" t="s">
        <v>68</v>
      </c>
      <c r="C16" s="2" t="s">
        <v>44</v>
      </c>
      <c r="F16" s="2" t="s">
        <v>69</v>
      </c>
      <c r="G16" s="2" t="s">
        <v>43</v>
      </c>
    </row>
    <row r="17">
      <c r="B17" s="2" t="s">
        <v>70</v>
      </c>
      <c r="C17" s="2" t="s">
        <v>50</v>
      </c>
      <c r="F17" s="2" t="s">
        <v>71</v>
      </c>
      <c r="G17" s="2" t="s">
        <v>62</v>
      </c>
    </row>
    <row r="18">
      <c r="F18" s="2" t="s">
        <v>72</v>
      </c>
      <c r="G18" s="2" t="s">
        <v>52</v>
      </c>
    </row>
    <row r="19">
      <c r="F19" s="2" t="s">
        <v>73</v>
      </c>
      <c r="G19" s="2" t="s">
        <v>43</v>
      </c>
    </row>
    <row r="20">
      <c r="F20" s="2" t="s">
        <v>74</v>
      </c>
      <c r="G20" s="2" t="s">
        <v>63</v>
      </c>
    </row>
    <row r="21">
      <c r="F21" s="2" t="s">
        <v>75</v>
      </c>
      <c r="G21" s="2" t="s">
        <v>60</v>
      </c>
    </row>
    <row r="22">
      <c r="F22" s="2" t="s">
        <v>20</v>
      </c>
      <c r="G22" s="2" t="s">
        <v>19</v>
      </c>
    </row>
    <row r="23">
      <c r="F23" s="2" t="s">
        <v>76</v>
      </c>
      <c r="G23" s="2" t="s">
        <v>49</v>
      </c>
    </row>
    <row r="24">
      <c r="F24" s="2" t="s">
        <v>77</v>
      </c>
      <c r="G24" s="2" t="s">
        <v>68</v>
      </c>
    </row>
  </sheetData>
  <drawing r:id="rId1"/>
</worksheet>
</file>